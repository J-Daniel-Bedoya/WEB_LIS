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0730" windowHeight="11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12" i="1"/>
  <c r="C11" i="1"/>
</calcChain>
</file>

<file path=xl/sharedStrings.xml><?xml version="1.0" encoding="utf-8"?>
<sst xmlns="http://schemas.openxmlformats.org/spreadsheetml/2006/main" count="145" uniqueCount="72">
  <si>
    <t>SOPETRÁN</t>
  </si>
  <si>
    <t>INTERNET 100 MEGAS</t>
  </si>
  <si>
    <t>INTERNET 200 MEGAS</t>
  </si>
  <si>
    <t>INTERNET 300 MEGAS</t>
  </si>
  <si>
    <t>INSTALACIÓN SOLO INTERNET</t>
  </si>
  <si>
    <t>INSTALACIÓN COMBO</t>
  </si>
  <si>
    <t>INTERNET 100 MEGAS + 2TV</t>
  </si>
  <si>
    <t>INTERNET 300 MEGAS + 2TV</t>
  </si>
  <si>
    <t>INTERNET 200 MEGAS +2TV</t>
  </si>
  <si>
    <t>SAN JERONIMO</t>
  </si>
  <si>
    <t xml:space="preserve">INTERNET 100 MEGAS </t>
  </si>
  <si>
    <t>INSTALACIÓN GRATIS ENERO Y FEBRERO</t>
  </si>
  <si>
    <t>INSTALACIÓN INTERNET POR COMBO</t>
  </si>
  <si>
    <t>TARIFAS MUNICIPIOS FIBRA OPTICA 2026</t>
  </si>
  <si>
    <t>INSTALACIÓN INTERNET GRATIS ENERO</t>
  </si>
  <si>
    <t>EBEJICO</t>
  </si>
  <si>
    <t>HELICONIA</t>
  </si>
  <si>
    <t>INSTALACIÓN A MITAD DE COSTO EN ENERO</t>
  </si>
  <si>
    <t>INTERNET 10 MEGAS RURAL</t>
  </si>
  <si>
    <t>INTERNET 15 MEGAS URBANO</t>
  </si>
  <si>
    <t>INTERNET 20 MEGAS URBANO</t>
  </si>
  <si>
    <t>INTERNET 10 MEGAS + 2TV RURAL</t>
  </si>
  <si>
    <t>INTERNET 10 MEGAS + 2TV URBANO</t>
  </si>
  <si>
    <t>INTERNET 10 MEGAS URBANO</t>
  </si>
  <si>
    <t>INTERNET 20 MEGAS +2TV URBANO</t>
  </si>
  <si>
    <t>ARMENIA</t>
  </si>
  <si>
    <t>INTERNET 15 MEGAS + 2TV URBANO</t>
  </si>
  <si>
    <t>INSTALACIÓN GRATIS EN ENERO, FEBRERO A MITAD DE PRECIO Y MARZO NORMAL</t>
  </si>
  <si>
    <t>SOPETRAN</t>
  </si>
  <si>
    <t xml:space="preserve">ARMENIA </t>
  </si>
  <si>
    <t>PUBELITO ARMENIA</t>
  </si>
  <si>
    <t>GUAMAL ARMENIA</t>
  </si>
  <si>
    <t>TARIFAS TELEVISIÓN GENERALES 2026</t>
  </si>
  <si>
    <t>LA GRAMALA EBEJICO</t>
  </si>
  <si>
    <t>CONEXIÓN INTERNET Y COMBO</t>
  </si>
  <si>
    <t>INTERNET 10 MEGAS + 2TV</t>
  </si>
  <si>
    <t>INTERNET 10 MEGAS</t>
  </si>
  <si>
    <t xml:space="preserve">INTERNET 10 MEGAS </t>
  </si>
  <si>
    <t>INTERNET 15 MEGAS</t>
  </si>
  <si>
    <t>INTERNET 20 MEGAS</t>
  </si>
  <si>
    <t>INTERNET 15 MEGAS +2TV</t>
  </si>
  <si>
    <t>EBEJICO - PREPAGO</t>
  </si>
  <si>
    <t>INSTALACIÓN INTERNET Y COMBO</t>
  </si>
  <si>
    <t>CONEXIÓN TELEVISIÓN</t>
  </si>
  <si>
    <t>COMERCIALES</t>
  </si>
  <si>
    <t>SEVILLA</t>
  </si>
  <si>
    <t xml:space="preserve">INTERNET 10 MEGAS  </t>
  </si>
  <si>
    <t>COMERCIAL</t>
  </si>
  <si>
    <t>68.000 + IVA</t>
  </si>
  <si>
    <t>CONEXIÓN INTERNET</t>
  </si>
  <si>
    <t>73.000 + IVA</t>
  </si>
  <si>
    <t>95.000 + IVA</t>
  </si>
  <si>
    <t>TARIFAS MUNICIPIOS ANTENA 2026</t>
  </si>
  <si>
    <t>INTERNET 3 MEGAS</t>
  </si>
  <si>
    <t>INTERNET 4 MEGAS</t>
  </si>
  <si>
    <t>INTERNET 5 MEGAS</t>
  </si>
  <si>
    <t>INTERNET 6 MEGAS</t>
  </si>
  <si>
    <t>INTERNET 7 MEGAS</t>
  </si>
  <si>
    <t>INTERNET 8 MEGAS</t>
  </si>
  <si>
    <t>INSTALACIÓN INTERNET</t>
  </si>
  <si>
    <t>INSTALACION INTERNET ANTENA GRANDE</t>
  </si>
  <si>
    <t>SOPETRÁN Y SAN JERONIMO</t>
  </si>
  <si>
    <t>PALMITAS</t>
  </si>
  <si>
    <t>ALTAMIRA, ANZA Y BETULIA</t>
  </si>
  <si>
    <t>FIBRA GUINTAR</t>
  </si>
  <si>
    <t>INSTALACIÓN INTERNET ANTENA PEQUEÑA</t>
  </si>
  <si>
    <t>INSTALACIÓN INTERNET ANTENA PEQUEÑA - FINCA O NEGOCIO</t>
  </si>
  <si>
    <t>INSTALACIÓN INTERNET CASA</t>
  </si>
  <si>
    <t xml:space="preserve">INSTALACION INTERNET FINCA </t>
  </si>
  <si>
    <t>INTERNET 9 MEGAS</t>
  </si>
  <si>
    <t>INTERNET 12 MEGAS</t>
  </si>
  <si>
    <t>TITIRIBI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</si>
</sst>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left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7"/>
  <sheetViews>
    <sheetView tabSelected="1" topLeftCell="C22" zoomScale="80" zoomScaleNormal="80" workbookViewId="0">
      <selection activeCell="H27" sqref="H27:I27"/>
    </sheetView>
  </sheetViews>
  <sheetFormatPr baseColWidth="10" defaultRowHeight="14.25" x14ac:dyDescent="0.25"/>
  <cols>
    <col min="1" max="1" width="3.140625" style="1" customWidth="1"/>
    <col min="2" max="2" width="43.28515625" style="1" bestFit="1" customWidth="1"/>
    <col min="3" max="3" width="22.28515625" style="2" customWidth="1"/>
    <col min="4" max="4" width="5.5703125" style="1" customWidth="1"/>
    <col min="5" max="5" width="50.7109375" style="1" bestFit="1" customWidth="1"/>
    <col min="6" max="6" width="15.28515625" style="2" bestFit="1" customWidth="1"/>
    <col min="7" max="7" width="3.7109375" style="1" customWidth="1"/>
    <col min="8" max="8" width="72.5703125" style="1" bestFit="1" customWidth="1"/>
    <col min="9" max="9" width="33.7109375" style="1" customWidth="1"/>
    <col min="10" max="16384" width="11.42578125" style="1"/>
  </cols>
  <sheetData>
    <row r="1" spans="2:9" ht="10.5" customHeight="1" x14ac:dyDescent="0.25"/>
    <row r="2" spans="2:9" ht="17.25" customHeight="1" x14ac:dyDescent="0.25">
      <c r="B2" s="17" t="s">
        <v>13</v>
      </c>
      <c r="C2" s="17"/>
      <c r="E2" s="16" t="s">
        <v>32</v>
      </c>
      <c r="F2" s="16"/>
      <c r="H2" s="17" t="s">
        <v>52</v>
      </c>
      <c r="I2" s="17"/>
    </row>
    <row r="3" spans="2:9" ht="12.75" customHeight="1" x14ac:dyDescent="0.25"/>
    <row r="4" spans="2:9" ht="17.25" customHeight="1" x14ac:dyDescent="0.25">
      <c r="B4" s="17" t="s">
        <v>0</v>
      </c>
      <c r="C4" s="17"/>
      <c r="E4" s="5" t="s">
        <v>28</v>
      </c>
      <c r="F4" s="6">
        <v>45000</v>
      </c>
      <c r="H4" s="17" t="s">
        <v>61</v>
      </c>
      <c r="I4" s="17"/>
    </row>
    <row r="5" spans="2:9" ht="17.25" customHeight="1" x14ac:dyDescent="0.25">
      <c r="B5" s="3" t="s">
        <v>4</v>
      </c>
      <c r="C5" s="4">
        <v>90000</v>
      </c>
      <c r="E5" s="5" t="s">
        <v>9</v>
      </c>
      <c r="F5" s="6">
        <v>51000</v>
      </c>
      <c r="H5" s="3" t="s">
        <v>59</v>
      </c>
      <c r="I5" s="4">
        <v>160000</v>
      </c>
    </row>
    <row r="6" spans="2:9" ht="17.25" customHeight="1" x14ac:dyDescent="0.25">
      <c r="B6" s="5" t="s">
        <v>1</v>
      </c>
      <c r="C6" s="6">
        <v>60000</v>
      </c>
      <c r="E6" s="5" t="s">
        <v>16</v>
      </c>
      <c r="F6" s="6">
        <v>44000</v>
      </c>
      <c r="H6" s="3" t="s">
        <v>60</v>
      </c>
      <c r="I6" s="4">
        <v>300000</v>
      </c>
    </row>
    <row r="7" spans="2:9" ht="17.25" customHeight="1" x14ac:dyDescent="0.25">
      <c r="B7" s="5" t="s">
        <v>2</v>
      </c>
      <c r="C7" s="6">
        <v>70000</v>
      </c>
      <c r="E7" s="5" t="s">
        <v>15</v>
      </c>
      <c r="F7" s="6">
        <v>44000</v>
      </c>
      <c r="H7" s="5" t="s">
        <v>53</v>
      </c>
      <c r="I7" s="6">
        <v>70000</v>
      </c>
    </row>
    <row r="8" spans="2:9" ht="17.25" customHeight="1" x14ac:dyDescent="0.25">
      <c r="B8" s="5" t="s">
        <v>3</v>
      </c>
      <c r="C8" s="6">
        <v>85000</v>
      </c>
      <c r="E8" s="5" t="s">
        <v>29</v>
      </c>
      <c r="F8" s="6">
        <v>44000</v>
      </c>
      <c r="H8" s="5" t="s">
        <v>54</v>
      </c>
      <c r="I8" s="6">
        <v>80000</v>
      </c>
    </row>
    <row r="9" spans="2:9" ht="17.25" customHeight="1" x14ac:dyDescent="0.25">
      <c r="B9" s="3" t="s">
        <v>5</v>
      </c>
      <c r="C9" s="4">
        <v>125000</v>
      </c>
      <c r="E9" s="5" t="s">
        <v>30</v>
      </c>
      <c r="F9" s="6">
        <v>36500</v>
      </c>
      <c r="H9" s="5" t="s">
        <v>55</v>
      </c>
      <c r="I9" s="6">
        <v>85000</v>
      </c>
    </row>
    <row r="10" spans="2:9" ht="17.25" customHeight="1" x14ac:dyDescent="0.25">
      <c r="B10" s="5" t="s">
        <v>6</v>
      </c>
      <c r="C10" s="6">
        <v>100000</v>
      </c>
      <c r="E10" s="5" t="s">
        <v>31</v>
      </c>
      <c r="F10" s="6">
        <v>37500</v>
      </c>
      <c r="H10" s="5" t="s">
        <v>56</v>
      </c>
      <c r="I10" s="6">
        <v>90000</v>
      </c>
    </row>
    <row r="11" spans="2:9" ht="17.25" customHeight="1" x14ac:dyDescent="0.25">
      <c r="B11" s="5" t="s">
        <v>8</v>
      </c>
      <c r="C11" s="6">
        <f>+C7+45000</f>
        <v>115000</v>
      </c>
      <c r="H11" s="5" t="s">
        <v>58</v>
      </c>
      <c r="I11" s="6">
        <v>103000</v>
      </c>
    </row>
    <row r="12" spans="2:9" ht="17.25" customHeight="1" x14ac:dyDescent="0.25">
      <c r="B12" s="5" t="s">
        <v>7</v>
      </c>
      <c r="C12" s="6">
        <f>+C8+45000</f>
        <v>130000</v>
      </c>
      <c r="H12" s="5" t="s">
        <v>36</v>
      </c>
      <c r="I12" s="6">
        <v>115000</v>
      </c>
    </row>
    <row r="13" spans="2:9" ht="17.25" customHeight="1" x14ac:dyDescent="0.25">
      <c r="B13" s="18" t="s">
        <v>11</v>
      </c>
      <c r="C13" s="18"/>
    </row>
    <row r="14" spans="2:9" ht="17.25" customHeight="1" x14ac:dyDescent="0.25">
      <c r="H14" s="17" t="s">
        <v>62</v>
      </c>
      <c r="I14" s="17"/>
    </row>
    <row r="15" spans="2:9" ht="17.25" customHeight="1" x14ac:dyDescent="0.25">
      <c r="B15" s="16" t="s">
        <v>9</v>
      </c>
      <c r="C15" s="16"/>
      <c r="H15" s="3" t="s">
        <v>67</v>
      </c>
      <c r="I15" s="4">
        <v>100000</v>
      </c>
    </row>
    <row r="16" spans="2:9" ht="17.25" customHeight="1" x14ac:dyDescent="0.25">
      <c r="B16" s="3" t="s">
        <v>4</v>
      </c>
      <c r="C16" s="4">
        <v>90000</v>
      </c>
      <c r="H16" s="3" t="s">
        <v>68</v>
      </c>
      <c r="I16" s="4">
        <v>140000</v>
      </c>
    </row>
    <row r="17" spans="2:9" ht="17.25" customHeight="1" x14ac:dyDescent="0.25">
      <c r="B17" s="5" t="s">
        <v>10</v>
      </c>
      <c r="C17" s="6">
        <v>70000</v>
      </c>
      <c r="H17" s="5" t="s">
        <v>55</v>
      </c>
      <c r="I17" s="6">
        <v>64000</v>
      </c>
    </row>
    <row r="18" spans="2:9" ht="17.25" customHeight="1" x14ac:dyDescent="0.25">
      <c r="B18" s="5" t="s">
        <v>2</v>
      </c>
      <c r="C18" s="6">
        <v>80000</v>
      </c>
      <c r="H18" s="5" t="s">
        <v>57</v>
      </c>
      <c r="I18" s="6">
        <v>70000</v>
      </c>
    </row>
    <row r="19" spans="2:9" ht="17.25" customHeight="1" x14ac:dyDescent="0.25">
      <c r="B19" s="5" t="s">
        <v>3</v>
      </c>
      <c r="C19" s="6">
        <v>95000</v>
      </c>
      <c r="H19" s="5" t="s">
        <v>69</v>
      </c>
      <c r="I19" s="6">
        <v>77000</v>
      </c>
    </row>
    <row r="20" spans="2:9" ht="17.25" customHeight="1" x14ac:dyDescent="0.25">
      <c r="B20" s="3" t="s">
        <v>12</v>
      </c>
      <c r="C20" s="4">
        <v>125000</v>
      </c>
      <c r="H20" s="5" t="s">
        <v>70</v>
      </c>
      <c r="I20" s="6">
        <v>85000</v>
      </c>
    </row>
    <row r="21" spans="2:9" ht="17.25" customHeight="1" x14ac:dyDescent="0.25">
      <c r="B21" s="5" t="s">
        <v>6</v>
      </c>
      <c r="C21" s="6">
        <v>120000</v>
      </c>
    </row>
    <row r="22" spans="2:9" ht="17.25" customHeight="1" x14ac:dyDescent="0.25">
      <c r="B22" s="5" t="s">
        <v>8</v>
      </c>
      <c r="C22" s="6">
        <v>130000</v>
      </c>
      <c r="H22" s="21" t="s">
        <v>63</v>
      </c>
      <c r="I22" s="22"/>
    </row>
    <row r="23" spans="2:9" ht="17.25" customHeight="1" x14ac:dyDescent="0.25">
      <c r="B23" s="5" t="s">
        <v>7</v>
      </c>
      <c r="C23" s="6">
        <f>+C19+50000</f>
        <v>145000</v>
      </c>
      <c r="H23" s="3" t="s">
        <v>65</v>
      </c>
      <c r="I23" s="4">
        <v>200000</v>
      </c>
    </row>
    <row r="24" spans="2:9" ht="18" customHeight="1" x14ac:dyDescent="0.25">
      <c r="B24" s="18" t="s">
        <v>14</v>
      </c>
      <c r="C24" s="18"/>
      <c r="H24" s="3" t="s">
        <v>60</v>
      </c>
      <c r="I24" s="4">
        <v>300000</v>
      </c>
    </row>
    <row r="25" spans="2:9" x14ac:dyDescent="0.25">
      <c r="H25" s="5" t="s">
        <v>53</v>
      </c>
      <c r="I25" s="6">
        <v>54000</v>
      </c>
    </row>
    <row r="26" spans="2:9" ht="18" customHeight="1" x14ac:dyDescent="0.25">
      <c r="B26" s="16" t="s">
        <v>15</v>
      </c>
      <c r="C26" s="16"/>
      <c r="E26" s="16" t="s">
        <v>41</v>
      </c>
      <c r="F26" s="16"/>
      <c r="H26" s="5" t="s">
        <v>54</v>
      </c>
      <c r="I26" s="6">
        <v>60000</v>
      </c>
    </row>
    <row r="27" spans="2:9" ht="18" customHeight="1" x14ac:dyDescent="0.25">
      <c r="B27" s="3" t="s">
        <v>4</v>
      </c>
      <c r="C27" s="4">
        <v>65000</v>
      </c>
      <c r="E27" s="3" t="s">
        <v>42</v>
      </c>
      <c r="F27" s="4">
        <v>65000</v>
      </c>
      <c r="H27" s="5" t="s">
        <v>55</v>
      </c>
      <c r="I27" s="6">
        <v>68000</v>
      </c>
    </row>
    <row r="28" spans="2:9" ht="18" customHeight="1" x14ac:dyDescent="0.25">
      <c r="B28" s="5" t="s">
        <v>37</v>
      </c>
      <c r="C28" s="6">
        <v>52500</v>
      </c>
      <c r="E28" s="3" t="s">
        <v>43</v>
      </c>
      <c r="F28" s="4">
        <v>33000</v>
      </c>
      <c r="H28" s="5" t="s">
        <v>56</v>
      </c>
      <c r="I28" s="6">
        <v>75000</v>
      </c>
    </row>
    <row r="29" spans="2:9" ht="18" customHeight="1" x14ac:dyDescent="0.25">
      <c r="B29" s="5" t="s">
        <v>38</v>
      </c>
      <c r="C29" s="6">
        <v>78000</v>
      </c>
      <c r="E29" s="5" t="s">
        <v>37</v>
      </c>
      <c r="F29" s="6">
        <v>52500</v>
      </c>
      <c r="H29" s="5" t="s">
        <v>58</v>
      </c>
      <c r="I29" s="6">
        <v>90000</v>
      </c>
    </row>
    <row r="30" spans="2:9" ht="18" customHeight="1" x14ac:dyDescent="0.25">
      <c r="B30" s="5" t="s">
        <v>39</v>
      </c>
      <c r="C30" s="6">
        <v>89000</v>
      </c>
      <c r="E30" s="5" t="s">
        <v>38</v>
      </c>
      <c r="F30" s="6">
        <v>78000</v>
      </c>
      <c r="H30" s="5" t="s">
        <v>36</v>
      </c>
      <c r="I30" s="6">
        <v>107000</v>
      </c>
    </row>
    <row r="31" spans="2:9" ht="18" customHeight="1" x14ac:dyDescent="0.25">
      <c r="B31" s="3" t="s">
        <v>12</v>
      </c>
      <c r="C31" s="4">
        <v>65000</v>
      </c>
      <c r="E31" s="5" t="s">
        <v>35</v>
      </c>
      <c r="F31" s="6">
        <v>93000</v>
      </c>
    </row>
    <row r="32" spans="2:9" ht="18" customHeight="1" x14ac:dyDescent="0.25">
      <c r="B32" s="5" t="s">
        <v>35</v>
      </c>
      <c r="C32" s="6">
        <v>93000</v>
      </c>
      <c r="E32" s="5" t="s">
        <v>40</v>
      </c>
      <c r="F32" s="6">
        <v>120000</v>
      </c>
      <c r="H32" s="21" t="s">
        <v>16</v>
      </c>
      <c r="I32" s="22"/>
    </row>
    <row r="33" spans="2:9" ht="18" customHeight="1" x14ac:dyDescent="0.25">
      <c r="B33" s="5" t="s">
        <v>40</v>
      </c>
      <c r="C33" s="6">
        <v>120000</v>
      </c>
      <c r="E33" s="16" t="s">
        <v>44</v>
      </c>
      <c r="F33" s="16"/>
      <c r="H33" s="3" t="s">
        <v>65</v>
      </c>
      <c r="I33" s="4">
        <v>100000</v>
      </c>
    </row>
    <row r="34" spans="2:9" ht="18" customHeight="1" x14ac:dyDescent="0.25">
      <c r="B34" s="19" t="s">
        <v>44</v>
      </c>
      <c r="C34" s="20"/>
      <c r="E34" s="5" t="s">
        <v>37</v>
      </c>
      <c r="F34" s="6" t="s">
        <v>50</v>
      </c>
      <c r="H34" s="5" t="s">
        <v>53</v>
      </c>
      <c r="I34" s="6">
        <v>64000</v>
      </c>
    </row>
    <row r="35" spans="2:9" ht="18" customHeight="1" x14ac:dyDescent="0.25">
      <c r="B35" s="5" t="s">
        <v>37</v>
      </c>
      <c r="C35" s="14" t="s">
        <v>50</v>
      </c>
      <c r="E35" s="5" t="s">
        <v>38</v>
      </c>
      <c r="F35" s="6" t="s">
        <v>51</v>
      </c>
      <c r="H35" s="5" t="s">
        <v>54</v>
      </c>
      <c r="I35" s="6">
        <v>74000</v>
      </c>
    </row>
    <row r="36" spans="2:9" ht="18" customHeight="1" x14ac:dyDescent="0.25">
      <c r="B36" s="5" t="s">
        <v>38</v>
      </c>
      <c r="C36" s="14" t="s">
        <v>51</v>
      </c>
      <c r="E36" s="8"/>
      <c r="F36" s="9"/>
      <c r="H36" s="5" t="s">
        <v>55</v>
      </c>
      <c r="I36" s="6">
        <v>79000</v>
      </c>
    </row>
    <row r="37" spans="2:9" ht="18" customHeight="1" x14ac:dyDescent="0.25">
      <c r="B37" s="15"/>
      <c r="C37" s="15"/>
      <c r="E37" s="8"/>
      <c r="F37" s="9"/>
      <c r="H37" s="5" t="s">
        <v>56</v>
      </c>
      <c r="I37" s="6">
        <v>84000</v>
      </c>
    </row>
    <row r="38" spans="2:9" ht="20.25" customHeight="1" x14ac:dyDescent="0.25">
      <c r="B38" s="16" t="s">
        <v>33</v>
      </c>
      <c r="C38" s="16"/>
      <c r="H38" s="5" t="s">
        <v>58</v>
      </c>
      <c r="I38" s="6">
        <v>94000</v>
      </c>
    </row>
    <row r="39" spans="2:9" ht="20.25" customHeight="1" x14ac:dyDescent="0.25">
      <c r="B39" s="5" t="s">
        <v>34</v>
      </c>
      <c r="C39" s="6">
        <v>73000</v>
      </c>
      <c r="H39" s="5" t="s">
        <v>36</v>
      </c>
      <c r="I39" s="6">
        <v>104000</v>
      </c>
    </row>
    <row r="40" spans="2:9" ht="20.25" customHeight="1" x14ac:dyDescent="0.25">
      <c r="B40" s="5" t="s">
        <v>36</v>
      </c>
      <c r="C40" s="6">
        <v>60000</v>
      </c>
    </row>
    <row r="41" spans="2:9" ht="20.25" customHeight="1" x14ac:dyDescent="0.25">
      <c r="B41" s="5" t="s">
        <v>35</v>
      </c>
      <c r="C41" s="6">
        <v>85000</v>
      </c>
      <c r="H41" s="21" t="s">
        <v>15</v>
      </c>
      <c r="I41" s="22"/>
    </row>
    <row r="42" spans="2:9" ht="20.25" customHeight="1" x14ac:dyDescent="0.25">
      <c r="B42" s="8"/>
      <c r="C42" s="9"/>
      <c r="H42" s="3" t="s">
        <v>65</v>
      </c>
      <c r="I42" s="4">
        <v>105000</v>
      </c>
    </row>
    <row r="43" spans="2:9" ht="20.25" customHeight="1" x14ac:dyDescent="0.25">
      <c r="B43" s="16" t="s">
        <v>45</v>
      </c>
      <c r="C43" s="16"/>
      <c r="H43" s="3" t="s">
        <v>66</v>
      </c>
      <c r="I43" s="10">
        <v>140000</v>
      </c>
    </row>
    <row r="44" spans="2:9" ht="20.25" customHeight="1" x14ac:dyDescent="0.25">
      <c r="B44" s="12" t="s">
        <v>49</v>
      </c>
      <c r="C44" s="13">
        <v>65000</v>
      </c>
      <c r="H44" s="3" t="s">
        <v>60</v>
      </c>
      <c r="I44" s="4">
        <v>250000</v>
      </c>
    </row>
    <row r="45" spans="2:9" ht="20.25" customHeight="1" x14ac:dyDescent="0.25">
      <c r="B45" s="5" t="s">
        <v>46</v>
      </c>
      <c r="C45" s="6">
        <v>50000</v>
      </c>
      <c r="H45" s="5" t="s">
        <v>53</v>
      </c>
      <c r="I45" s="6">
        <v>64000</v>
      </c>
    </row>
    <row r="46" spans="2:9" ht="20.25" customHeight="1" x14ac:dyDescent="0.25">
      <c r="B46" s="5" t="s">
        <v>39</v>
      </c>
      <c r="C46" s="6">
        <v>89000</v>
      </c>
      <c r="H46" s="5" t="s">
        <v>54</v>
      </c>
      <c r="I46" s="6">
        <v>74000</v>
      </c>
    </row>
    <row r="47" spans="2:9" ht="20.25" customHeight="1" x14ac:dyDescent="0.25">
      <c r="B47" s="5" t="s">
        <v>35</v>
      </c>
      <c r="C47" s="6">
        <v>73000</v>
      </c>
      <c r="H47" s="5" t="s">
        <v>55</v>
      </c>
      <c r="I47" s="6">
        <v>79000</v>
      </c>
    </row>
    <row r="48" spans="2:9" ht="20.25" customHeight="1" x14ac:dyDescent="0.25">
      <c r="B48" s="16" t="s">
        <v>47</v>
      </c>
      <c r="C48" s="16"/>
      <c r="H48" s="5" t="s">
        <v>56</v>
      </c>
      <c r="I48" s="6">
        <v>84000</v>
      </c>
    </row>
    <row r="49" spans="2:9" ht="20.25" customHeight="1" x14ac:dyDescent="0.25">
      <c r="B49" s="5" t="s">
        <v>46</v>
      </c>
      <c r="C49" s="11" t="s">
        <v>48</v>
      </c>
      <c r="H49" s="5" t="s">
        <v>58</v>
      </c>
      <c r="I49" s="6">
        <v>94000</v>
      </c>
    </row>
    <row r="50" spans="2:9" x14ac:dyDescent="0.25">
      <c r="B50" s="7"/>
      <c r="C50" s="7"/>
      <c r="H50" s="5" t="s">
        <v>36</v>
      </c>
      <c r="I50" s="6">
        <v>104000</v>
      </c>
    </row>
    <row r="51" spans="2:9" ht="14.25" hidden="1" customHeight="1" x14ac:dyDescent="0.25"/>
    <row r="52" spans="2:9" ht="19.5" customHeight="1" x14ac:dyDescent="0.25">
      <c r="B52" s="16" t="s">
        <v>16</v>
      </c>
      <c r="C52" s="16"/>
    </row>
    <row r="53" spans="2:9" ht="19.5" customHeight="1" x14ac:dyDescent="0.25">
      <c r="B53" s="3" t="s">
        <v>4</v>
      </c>
      <c r="C53" s="4">
        <v>90000</v>
      </c>
      <c r="H53" s="21" t="s">
        <v>71</v>
      </c>
      <c r="I53" s="22"/>
    </row>
    <row r="54" spans="2:9" ht="19.5" customHeight="1" x14ac:dyDescent="0.25">
      <c r="B54" s="5" t="s">
        <v>23</v>
      </c>
      <c r="C54" s="6">
        <v>49000</v>
      </c>
      <c r="H54" s="3" t="s">
        <v>65</v>
      </c>
      <c r="I54" s="4">
        <v>100000</v>
      </c>
    </row>
    <row r="55" spans="2:9" ht="19.5" customHeight="1" x14ac:dyDescent="0.25">
      <c r="B55" s="5" t="s">
        <v>19</v>
      </c>
      <c r="C55" s="6">
        <v>67000</v>
      </c>
      <c r="H55" s="3" t="s">
        <v>60</v>
      </c>
      <c r="I55" s="4">
        <v>250000</v>
      </c>
    </row>
    <row r="56" spans="2:9" ht="19.5" customHeight="1" x14ac:dyDescent="0.25">
      <c r="B56" s="5" t="s">
        <v>20</v>
      </c>
      <c r="C56" s="6">
        <v>82000</v>
      </c>
      <c r="H56" s="5" t="s">
        <v>53</v>
      </c>
      <c r="I56" s="6">
        <v>46000</v>
      </c>
    </row>
    <row r="57" spans="2:9" ht="19.5" customHeight="1" x14ac:dyDescent="0.25">
      <c r="B57" s="5" t="s">
        <v>18</v>
      </c>
      <c r="C57" s="6">
        <v>60000</v>
      </c>
      <c r="H57" s="5" t="s">
        <v>54</v>
      </c>
      <c r="I57" s="6">
        <v>52000</v>
      </c>
    </row>
    <row r="58" spans="2:9" ht="19.5" customHeight="1" x14ac:dyDescent="0.25">
      <c r="B58" s="3" t="s">
        <v>12</v>
      </c>
      <c r="C58" s="4">
        <v>90000</v>
      </c>
      <c r="H58" s="5" t="s">
        <v>55</v>
      </c>
      <c r="I58" s="6">
        <v>60000</v>
      </c>
    </row>
    <row r="59" spans="2:9" ht="19.5" customHeight="1" x14ac:dyDescent="0.25">
      <c r="B59" s="5" t="s">
        <v>22</v>
      </c>
      <c r="C59" s="6">
        <v>89000</v>
      </c>
      <c r="H59" s="5" t="s">
        <v>56</v>
      </c>
      <c r="I59" s="6">
        <v>68000</v>
      </c>
    </row>
    <row r="60" spans="2:9" ht="19.5" customHeight="1" x14ac:dyDescent="0.25">
      <c r="B60" s="5" t="s">
        <v>24</v>
      </c>
      <c r="C60" s="6">
        <v>105000</v>
      </c>
      <c r="H60" s="5" t="s">
        <v>57</v>
      </c>
      <c r="I60" s="6">
        <v>74000</v>
      </c>
    </row>
    <row r="61" spans="2:9" ht="19.5" customHeight="1" x14ac:dyDescent="0.25">
      <c r="B61" s="5" t="s">
        <v>21</v>
      </c>
      <c r="C61" s="6">
        <v>84000</v>
      </c>
      <c r="H61" s="5" t="s">
        <v>58</v>
      </c>
      <c r="I61" s="6">
        <v>81000</v>
      </c>
    </row>
    <row r="62" spans="2:9" ht="19.5" customHeight="1" x14ac:dyDescent="0.25">
      <c r="B62" s="18" t="s">
        <v>17</v>
      </c>
      <c r="C62" s="18"/>
      <c r="H62" s="5" t="s">
        <v>69</v>
      </c>
      <c r="I62" s="6">
        <v>88000</v>
      </c>
    </row>
    <row r="63" spans="2:9" x14ac:dyDescent="0.25">
      <c r="H63" s="5" t="s">
        <v>36</v>
      </c>
      <c r="I63" s="6">
        <v>96000</v>
      </c>
    </row>
    <row r="64" spans="2:9" ht="18" customHeight="1" x14ac:dyDescent="0.25">
      <c r="B64" s="16" t="s">
        <v>25</v>
      </c>
      <c r="C64" s="16"/>
    </row>
    <row r="65" spans="2:3" ht="18" customHeight="1" x14ac:dyDescent="0.25">
      <c r="B65" s="3" t="s">
        <v>4</v>
      </c>
      <c r="C65" s="4">
        <v>90000</v>
      </c>
    </row>
    <row r="66" spans="2:3" ht="18" customHeight="1" x14ac:dyDescent="0.25">
      <c r="B66" s="5" t="s">
        <v>23</v>
      </c>
      <c r="C66" s="6">
        <v>60000</v>
      </c>
    </row>
    <row r="67" spans="2:3" ht="18" customHeight="1" x14ac:dyDescent="0.25">
      <c r="B67" s="5" t="s">
        <v>19</v>
      </c>
      <c r="C67" s="6">
        <v>67000</v>
      </c>
    </row>
    <row r="68" spans="2:3" ht="18" customHeight="1" x14ac:dyDescent="0.25">
      <c r="B68" s="5" t="s">
        <v>20</v>
      </c>
      <c r="C68" s="6">
        <v>80000</v>
      </c>
    </row>
    <row r="69" spans="2:3" ht="18" customHeight="1" x14ac:dyDescent="0.25">
      <c r="B69" s="3" t="s">
        <v>12</v>
      </c>
      <c r="C69" s="4">
        <v>90000</v>
      </c>
    </row>
    <row r="70" spans="2:3" ht="18" customHeight="1" x14ac:dyDescent="0.25">
      <c r="B70" s="5" t="s">
        <v>26</v>
      </c>
      <c r="C70" s="6">
        <v>77000</v>
      </c>
    </row>
    <row r="71" spans="2:3" ht="29.25" customHeight="1" x14ac:dyDescent="0.25">
      <c r="B71" s="23" t="s">
        <v>27</v>
      </c>
      <c r="C71" s="23"/>
    </row>
    <row r="73" spans="2:3" ht="22.5" customHeight="1" x14ac:dyDescent="0.25">
      <c r="B73" s="16" t="s">
        <v>64</v>
      </c>
      <c r="C73" s="16"/>
    </row>
    <row r="74" spans="2:3" ht="22.5" customHeight="1" x14ac:dyDescent="0.25">
      <c r="B74" s="3" t="s">
        <v>4</v>
      </c>
      <c r="C74" s="4">
        <v>100000</v>
      </c>
    </row>
    <row r="75" spans="2:3" ht="22.5" customHeight="1" x14ac:dyDescent="0.25">
      <c r="B75" s="5" t="s">
        <v>37</v>
      </c>
      <c r="C75" s="6">
        <v>55000</v>
      </c>
    </row>
    <row r="76" spans="2:3" ht="22.5" customHeight="1" x14ac:dyDescent="0.25">
      <c r="B76" s="5" t="s">
        <v>38</v>
      </c>
      <c r="C76" s="6">
        <v>73000</v>
      </c>
    </row>
    <row r="77" spans="2:3" ht="22.5" customHeight="1" x14ac:dyDescent="0.25">
      <c r="B77" s="5" t="s">
        <v>39</v>
      </c>
      <c r="C77" s="6">
        <v>120000</v>
      </c>
    </row>
  </sheetData>
  <mergeCells count="25">
    <mergeCell ref="B73:C73"/>
    <mergeCell ref="H22:I22"/>
    <mergeCell ref="H32:I32"/>
    <mergeCell ref="H41:I41"/>
    <mergeCell ref="B64:C64"/>
    <mergeCell ref="B71:C71"/>
    <mergeCell ref="B24:C24"/>
    <mergeCell ref="B38:C38"/>
    <mergeCell ref="B43:C43"/>
    <mergeCell ref="B62:C62"/>
    <mergeCell ref="H53:I53"/>
    <mergeCell ref="E2:F2"/>
    <mergeCell ref="B26:C26"/>
    <mergeCell ref="B52:C52"/>
    <mergeCell ref="H2:I2"/>
    <mergeCell ref="H4:I4"/>
    <mergeCell ref="H14:I14"/>
    <mergeCell ref="B2:C2"/>
    <mergeCell ref="B4:C4"/>
    <mergeCell ref="B15:C15"/>
    <mergeCell ref="B13:C13"/>
    <mergeCell ref="E26:F26"/>
    <mergeCell ref="E33:F33"/>
    <mergeCell ref="B48:C48"/>
    <mergeCell ref="B34:C34"/>
  </mergeCells>
  <pageMargins left="0.7" right="0.7" top="0.75" bottom="0.75" header="0.3" footer="0.3"/>
  <pageSetup paperSize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Lenovo</cp:lastModifiedBy>
  <dcterms:created xsi:type="dcterms:W3CDTF">2025-11-20T21:32:26Z</dcterms:created>
  <dcterms:modified xsi:type="dcterms:W3CDTF">2026-02-27T21:46:11Z</dcterms:modified>
</cp:coreProperties>
</file>